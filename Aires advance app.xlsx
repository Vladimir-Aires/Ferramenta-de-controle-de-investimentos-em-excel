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udos-dio\"/>
    </mc:Choice>
  </mc:AlternateContent>
  <xr:revisionPtr revIDLastSave="0" documentId="13_ncr:1_{F5C38E83-DEF1-4EBA-A429-D59FE960161A}" xr6:coauthVersionLast="47" xr6:coauthVersionMax="47" xr10:uidLastSave="{00000000-0000-0000-0000-000000000000}"/>
  <bookViews>
    <workbookView xWindow="-108" yWindow="-108" windowWidth="23256" windowHeight="12456" tabRatio="250" xr2:uid="{F67F93AC-8DDC-4582-8C23-6A06FBCFFEE5}"/>
  </bookViews>
  <sheets>
    <sheet name="APP" sheetId="1" r:id="rId1"/>
    <sheet name="TABELA_APOIO" sheetId="2" r:id="rId2"/>
  </sheets>
  <definedNames>
    <definedName name="aporte">APP!$G$32</definedName>
    <definedName name="dividendos_mensais">APP!$G$36</definedName>
    <definedName name="patrimonio_acumulado">APP!$G$35</definedName>
    <definedName name="qtd_anos">APP!$G$33</definedName>
    <definedName name="rendimento_carteira">APP!$G$27</definedName>
    <definedName name="salario">APP!$G$26</definedName>
    <definedName name="sugestao_investimento">APP!$G$28</definedName>
    <definedName name="taxa_mensal">APP!$G$34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7" i="1" l="1"/>
  <c r="F52" i="1"/>
  <c r="F53" i="1"/>
  <c r="F54" i="1"/>
  <c r="F55" i="1"/>
  <c r="F56" i="1"/>
  <c r="F51" i="1"/>
  <c r="B9" i="2"/>
  <c r="B10" i="2"/>
  <c r="B11" i="2"/>
  <c r="B12" i="2"/>
  <c r="B13" i="2"/>
  <c r="B14" i="2"/>
  <c r="B15" i="2"/>
  <c r="B16" i="2"/>
  <c r="B17" i="2"/>
  <c r="B18" i="2"/>
  <c r="B19" i="2"/>
  <c r="B20" i="2"/>
  <c r="B4" i="2"/>
  <c r="B5" i="2"/>
  <c r="B6" i="2"/>
  <c r="B7" i="2"/>
  <c r="B8" i="2"/>
  <c r="B3" i="2"/>
  <c r="G35" i="1"/>
  <c r="G36" i="1" s="1"/>
  <c r="G28" i="1"/>
  <c r="F41" i="1"/>
  <c r="G41" i="1" s="1"/>
  <c r="F42" i="1"/>
  <c r="G42" i="1" s="1"/>
  <c r="F43" i="1"/>
  <c r="G43" i="1" s="1"/>
  <c r="F40" i="1"/>
  <c r="G40" i="1" s="1"/>
  <c r="G56" i="1" l="1"/>
  <c r="G53" i="1"/>
  <c r="G52" i="1"/>
  <c r="G51" i="1"/>
  <c r="G55" i="1"/>
  <c r="G54" i="1"/>
  <c r="G57" i="1" l="1"/>
</calcChain>
</file>

<file path=xl/sharedStrings.xml><?xml version="1.0" encoding="utf-8"?>
<sst xmlns="http://schemas.openxmlformats.org/spreadsheetml/2006/main" count="68" uniqueCount="33">
  <si>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</si>
  <si>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</si>
  <si>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</si>
  <si>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</si>
  <si>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</si>
  <si>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</si>
  <si>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6 anos?</t>
  </si>
  <si>
    <t>Quanto em 12 anos?</t>
  </si>
  <si>
    <t>Quanto em 15 anos?</t>
  </si>
  <si>
    <t>Quanto em 40 anos?</t>
  </si>
  <si>
    <t>CENÁRIOS</t>
  </si>
  <si>
    <t>Dividendo</t>
  </si>
  <si>
    <t>CONFIGURAÇÕES</t>
  </si>
  <si>
    <t>Salário</t>
  </si>
  <si>
    <t>Rendimento carteira</t>
  </si>
  <si>
    <t>Sugestão de investimento</t>
  </si>
  <si>
    <t>Perfil</t>
  </si>
  <si>
    <t>AGRESSIVO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</si>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</sst>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Corbel"/>
      <family val="2"/>
    </font>
    <font>
      <b/>
      <sz val="16"/>
      <color rgb="FFFFDE59"/>
      <name val="Corbel"/>
      <family val="2"/>
    </font>
    <font>
      <b/>
      <sz val="10"/>
      <color rgb="FFFFDE59"/>
      <name val="Corbel"/>
      <family val="2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7" tint="-0.24994659260841701"/>
      </right>
      <top style="medium">
        <color indexed="64"/>
      </top>
      <bottom style="thin">
        <color theme="7" tint="-0.24994659260841701"/>
      </bottom>
      <diagonal/>
    </border>
    <border>
      <left style="thin">
        <color theme="7" tint="-0.24994659260841701"/>
      </left>
      <right style="medium">
        <color indexed="64"/>
      </right>
      <top style="medium">
        <color indexed="64"/>
      </top>
      <bottom style="thin">
        <color theme="7" tint="-0.24994659260841701"/>
      </bottom>
      <diagonal/>
    </border>
    <border>
      <left style="medium">
        <color indexed="64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medium">
        <color indexed="64"/>
      </right>
      <top style="thin">
        <color theme="7" tint="-0.24994659260841701"/>
      </top>
      <bottom style="thin">
        <color theme="7" tint="-0.24994659260841701"/>
      </bottom>
      <diagonal/>
    </border>
    <border>
      <left style="medium">
        <color indexed="64"/>
      </left>
      <right style="thin">
        <color theme="7" tint="-0.24994659260841701"/>
      </right>
      <top style="thin">
        <color theme="7" tint="-0.24994659260841701"/>
      </top>
      <bottom style="medium">
        <color indexed="64"/>
      </bottom>
      <diagonal/>
    </border>
    <border>
      <left style="thin">
        <color theme="7" tint="-0.24994659260841701"/>
      </left>
      <right style="medium">
        <color indexed="64"/>
      </right>
      <top style="thin">
        <color theme="7" tint="-0.24994659260841701"/>
      </top>
      <bottom style="medium">
        <color indexed="64"/>
      </bottom>
      <diagonal/>
    </border>
    <border>
      <left style="thin">
        <color theme="7" tint="-0.24994659260841701"/>
      </left>
      <right style="thin">
        <color theme="7" tint="-0.24994659260841701"/>
      </right>
      <top style="medium">
        <color indexed="64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indexed="64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</cellStyleXfs>
  <cellXfs count="75">
    <xf numFmtId="0" fontId="0" fillId="0" borderId="0" xfId="0"/>
    <xf numFmtId="0" fontId="3" fillId="0" borderId="0" xfId="0" applyFont="1"/>
    <xf numFmtId="44" fontId="2" fillId="0" borderId="5" xfId="1" applyFont="1" applyBorder="1"/>
    <xf numFmtId="10" fontId="2" fillId="0" borderId="7" xfId="0" applyNumberFormat="1" applyFont="1" applyBorder="1" applyAlignment="1">
      <alignment horizontal="right"/>
    </xf>
    <xf numFmtId="44" fontId="2" fillId="0" borderId="15" xfId="1" applyFont="1" applyBorder="1"/>
    <xf numFmtId="44" fontId="2" fillId="4" borderId="18" xfId="1" applyFont="1" applyFill="1" applyBorder="1"/>
    <xf numFmtId="44" fontId="2" fillId="4" borderId="21" xfId="0" applyNumberFormat="1" applyFont="1" applyFill="1" applyBorder="1"/>
    <xf numFmtId="0" fontId="9" fillId="3" borderId="15" xfId="0" applyFont="1" applyFill="1" applyBorder="1" applyAlignment="1">
      <alignment horizontal="center" vertical="center"/>
    </xf>
    <xf numFmtId="44" fontId="2" fillId="4" borderId="17" xfId="1" applyFont="1" applyFill="1" applyBorder="1"/>
    <xf numFmtId="44" fontId="2" fillId="4" borderId="18" xfId="0" applyNumberFormat="1" applyFont="1" applyFill="1" applyBorder="1"/>
    <xf numFmtId="44" fontId="2" fillId="4" borderId="20" xfId="1" applyFont="1" applyFill="1" applyBorder="1"/>
    <xf numFmtId="44" fontId="2" fillId="4" borderId="9" xfId="0" applyNumberFormat="1" applyFont="1" applyFill="1" applyBorder="1"/>
    <xf numFmtId="0" fontId="2" fillId="0" borderId="18" xfId="0" applyFont="1" applyBorder="1" applyAlignment="1">
      <alignment horizontal="right"/>
    </xf>
    <xf numFmtId="164" fontId="2" fillId="0" borderId="18" xfId="0" applyNumberFormat="1" applyFont="1" applyBorder="1" applyAlignment="1">
      <alignment horizontal="right"/>
    </xf>
    <xf numFmtId="0" fontId="0" fillId="4" borderId="0" xfId="0" applyFill="1"/>
    <xf numFmtId="44" fontId="0" fillId="4" borderId="0" xfId="1" applyFont="1" applyFill="1"/>
    <xf numFmtId="0" fontId="4" fillId="4" borderId="0" xfId="0" applyFont="1" applyFill="1" applyAlignment="1">
      <alignment horizontal="left" indent="4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44" fontId="2" fillId="6" borderId="0" xfId="0" applyNumberFormat="1" applyFont="1" applyFill="1"/>
    <xf numFmtId="0" fontId="8" fillId="3" borderId="22" xfId="0" applyFont="1" applyFill="1" applyBorder="1" applyAlignment="1">
      <alignment horizontal="left" vertical="center" indent="3"/>
    </xf>
    <xf numFmtId="0" fontId="8" fillId="3" borderId="23" xfId="0" applyFont="1" applyFill="1" applyBorder="1" applyAlignment="1">
      <alignment horizontal="left" vertical="center" indent="3"/>
    </xf>
    <xf numFmtId="0" fontId="5" fillId="4" borderId="19" xfId="0" applyFont="1" applyFill="1" applyBorder="1" applyAlignment="1">
      <alignment horizontal="left" indent="4"/>
    </xf>
    <xf numFmtId="0" fontId="5" fillId="4" borderId="20" xfId="0" applyFont="1" applyFill="1" applyBorder="1" applyAlignment="1">
      <alignment horizontal="left" indent="4"/>
    </xf>
    <xf numFmtId="0" fontId="5" fillId="4" borderId="16" xfId="0" applyFont="1" applyFill="1" applyBorder="1" applyAlignment="1">
      <alignment horizontal="left" indent="4"/>
    </xf>
    <xf numFmtId="0" fontId="5" fillId="4" borderId="17" xfId="0" applyFont="1" applyFill="1" applyBorder="1" applyAlignment="1">
      <alignment horizontal="left" indent="4"/>
    </xf>
    <xf numFmtId="0" fontId="2" fillId="6" borderId="0" xfId="0" applyFont="1" applyFill="1" applyAlignment="1">
      <alignment horizontal="center"/>
    </xf>
    <xf numFmtId="0" fontId="7" fillId="5" borderId="1" xfId="0" applyFont="1" applyFill="1" applyBorder="1" applyAlignment="1">
      <alignment horizontal="left" vertical="center" indent="3"/>
    </xf>
    <xf numFmtId="0" fontId="7" fillId="5" borderId="3" xfId="0" applyFont="1" applyFill="1" applyBorder="1" applyAlignment="1">
      <alignment horizontal="left" vertical="center" indent="3"/>
    </xf>
    <xf numFmtId="0" fontId="7" fillId="5" borderId="2" xfId="0" applyFont="1" applyFill="1" applyBorder="1" applyAlignment="1">
      <alignment horizontal="left" vertical="center" indent="3"/>
    </xf>
    <xf numFmtId="0" fontId="8" fillId="3" borderId="1" xfId="0" applyFont="1" applyFill="1" applyBorder="1" applyAlignment="1">
      <alignment horizontal="left" vertical="center" indent="3"/>
    </xf>
    <xf numFmtId="0" fontId="8" fillId="3" borderId="3" xfId="0" applyFont="1" applyFill="1" applyBorder="1" applyAlignment="1">
      <alignment horizontal="left" vertical="center" indent="3"/>
    </xf>
    <xf numFmtId="0" fontId="8" fillId="3" borderId="2" xfId="0" applyFont="1" applyFill="1" applyBorder="1" applyAlignment="1">
      <alignment horizontal="left" vertical="center" indent="3"/>
    </xf>
    <xf numFmtId="0" fontId="6" fillId="4" borderId="19" xfId="0" applyFont="1" applyFill="1" applyBorder="1" applyAlignment="1">
      <alignment horizontal="left" indent="4"/>
    </xf>
    <xf numFmtId="0" fontId="6" fillId="4" borderId="20" xfId="0" applyFont="1" applyFill="1" applyBorder="1" applyAlignment="1">
      <alignment horizontal="left" indent="4"/>
    </xf>
    <xf numFmtId="0" fontId="6" fillId="4" borderId="16" xfId="0" applyFont="1" applyFill="1" applyBorder="1" applyAlignment="1">
      <alignment horizontal="left" indent="4"/>
    </xf>
    <xf numFmtId="0" fontId="6" fillId="4" borderId="17" xfId="0" applyFont="1" applyFill="1" applyBorder="1" applyAlignment="1">
      <alignment horizontal="left" indent="4"/>
    </xf>
    <xf numFmtId="0" fontId="5" fillId="0" borderId="16" xfId="0" applyFont="1" applyBorder="1" applyAlignment="1">
      <alignment horizontal="left" indent="4"/>
    </xf>
    <xf numFmtId="0" fontId="5" fillId="0" borderId="17" xfId="0" applyFont="1" applyBorder="1" applyAlignment="1">
      <alignment horizontal="left" indent="4"/>
    </xf>
    <xf numFmtId="0" fontId="5" fillId="0" borderId="13" xfId="0" applyFont="1" applyBorder="1" applyAlignment="1">
      <alignment horizontal="left" indent="4"/>
    </xf>
    <xf numFmtId="0" fontId="5" fillId="0" borderId="14" xfId="0" applyFont="1" applyBorder="1" applyAlignment="1">
      <alignment horizontal="left" indent="4"/>
    </xf>
    <xf numFmtId="0" fontId="5" fillId="4" borderId="8" xfId="0" applyFont="1" applyFill="1" applyBorder="1" applyAlignment="1">
      <alignment horizontal="left" indent="4"/>
    </xf>
    <xf numFmtId="0" fontId="5" fillId="4" borderId="12" xfId="0" applyFont="1" applyFill="1" applyBorder="1" applyAlignment="1">
      <alignment horizontal="left" indent="4"/>
    </xf>
    <xf numFmtId="0" fontId="5" fillId="4" borderId="6" xfId="0" applyFont="1" applyFill="1" applyBorder="1" applyAlignment="1">
      <alignment horizontal="left" indent="4"/>
    </xf>
    <xf numFmtId="0" fontId="5" fillId="4" borderId="11" xfId="0" applyFont="1" applyFill="1" applyBorder="1" applyAlignment="1">
      <alignment horizontal="left" indent="4"/>
    </xf>
    <xf numFmtId="0" fontId="5" fillId="4" borderId="4" xfId="0" applyFont="1" applyFill="1" applyBorder="1" applyAlignment="1">
      <alignment horizontal="left" indent="4"/>
    </xf>
    <xf numFmtId="0" fontId="5" fillId="4" borderId="10" xfId="0" applyFont="1" applyFill="1" applyBorder="1" applyAlignment="1">
      <alignment horizontal="left" indent="4"/>
    </xf>
    <xf numFmtId="0" fontId="0" fillId="0" borderId="24" xfId="0" applyBorder="1" applyAlignment="1">
      <alignment horizontal="center"/>
    </xf>
    <xf numFmtId="9" fontId="0" fillId="0" borderId="24" xfId="0" applyNumberFormat="1" applyBorder="1" applyAlignment="1">
      <alignment horizontal="center"/>
    </xf>
    <xf numFmtId="44" fontId="0" fillId="4" borderId="24" xfId="0" applyNumberFormat="1" applyFill="1" applyBorder="1" applyAlignment="1">
      <alignment horizontal="center"/>
    </xf>
    <xf numFmtId="0" fontId="0" fillId="0" borderId="25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44" fontId="0" fillId="4" borderId="25" xfId="0" applyNumberFormat="1" applyFill="1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26" xfId="0" applyNumberFormat="1" applyBorder="1" applyAlignment="1">
      <alignment horizontal="center"/>
    </xf>
    <xf numFmtId="44" fontId="0" fillId="4" borderId="26" xfId="0" applyNumberFormat="1" applyFill="1" applyBorder="1" applyAlignment="1">
      <alignment horizontal="center"/>
    </xf>
    <xf numFmtId="0" fontId="13" fillId="0" borderId="27" xfId="0" applyFont="1" applyBorder="1"/>
    <xf numFmtId="0" fontId="0" fillId="0" borderId="27" xfId="0" applyBorder="1"/>
    <xf numFmtId="0" fontId="13" fillId="0" borderId="28" xfId="0" applyFont="1" applyBorder="1"/>
    <xf numFmtId="0" fontId="0" fillId="0" borderId="28" xfId="0" applyBorder="1"/>
    <xf numFmtId="0" fontId="0" fillId="0" borderId="32" xfId="0" applyBorder="1"/>
    <xf numFmtId="9" fontId="0" fillId="0" borderId="33" xfId="0" applyNumberFormat="1" applyBorder="1" applyAlignment="1">
      <alignment horizontal="center"/>
    </xf>
    <xf numFmtId="0" fontId="0" fillId="0" borderId="34" xfId="0" applyBorder="1"/>
    <xf numFmtId="9" fontId="0" fillId="0" borderId="35" xfId="0" applyNumberFormat="1" applyBorder="1" applyAlignment="1">
      <alignment horizontal="center"/>
    </xf>
    <xf numFmtId="0" fontId="0" fillId="0" borderId="36" xfId="0" applyBorder="1"/>
    <xf numFmtId="0" fontId="13" fillId="0" borderId="37" xfId="0" applyFont="1" applyBorder="1"/>
    <xf numFmtId="0" fontId="0" fillId="0" borderId="37" xfId="0" applyBorder="1"/>
    <xf numFmtId="9" fontId="0" fillId="0" borderId="38" xfId="0" applyNumberFormat="1" applyBorder="1" applyAlignment="1">
      <alignment horizontal="center"/>
    </xf>
    <xf numFmtId="0" fontId="14" fillId="7" borderId="29" xfId="3" applyFont="1" applyBorder="1" applyAlignment="1">
      <alignment horizontal="center" vertical="center"/>
    </xf>
    <xf numFmtId="0" fontId="14" fillId="7" borderId="30" xfId="3" applyFont="1" applyBorder="1" applyAlignment="1">
      <alignment horizontal="center" vertical="center"/>
    </xf>
    <xf numFmtId="0" fontId="14" fillId="7" borderId="31" xfId="3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2" borderId="0" xfId="2" applyFont="1" applyAlignment="1">
      <alignment horizontal="left" vertical="center"/>
    </xf>
    <xf numFmtId="0" fontId="10" fillId="2" borderId="0" xfId="2" applyFont="1" applyAlignment="1">
      <alignment vertical="center"/>
    </xf>
    <xf numFmtId="0" fontId="11" fillId="2" borderId="0" xfId="2" applyFont="1" applyAlignment="1">
      <alignment horizontal="center" vertical="center"/>
    </xf>
  </cellXfs>
  <cellStyles count="4">
    <cellStyle name="Ênfase1" xfId="3" builtinId="29"/>
    <cellStyle name="Ênfase5" xfId="2" builtinId="45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CC00"/>
      <color rgb="FFFFDE59"/>
      <color rgb="FFF0EA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3"/>
          <c:order val="3"/>
          <c:spPr>
            <a:solidFill>
              <a:srgbClr val="FFCC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APP!$B$51:$B$56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APP!$G$51:$G$56</c:f>
              <c:numCache>
                <c:formatCode>_("R$"* #,##0.00_);_("R$"* \(#,##0.00\);_("R$"* "-"??_);_(@_)</c:formatCode>
                <c:ptCount val="6"/>
                <c:pt idx="0">
                  <c:v>120</c:v>
                </c:pt>
                <c:pt idx="1">
                  <c:v>360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2D-41F3-9997-882D84CF9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672464"/>
        <c:axId val="20592374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APP!$B$51:$B$56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APP!$C$51:$C$56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32D-41F3-9997-882D84CF9694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APP!$B$51:$B$56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APP!$D$51:$D$56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32D-41F3-9997-882D84CF9694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APP!$B$51:$B$56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APP!$E$51:$E$56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32D-41F3-9997-882D84CF9694}"/>
                  </c:ext>
                </c:extLst>
              </c15:ser>
            </c15:filteredBarSeries>
          </c:ext>
        </c:extLst>
      </c:barChart>
      <c:catAx>
        <c:axId val="1567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9237440"/>
        <c:crosses val="autoZero"/>
        <c:auto val="1"/>
        <c:lblAlgn val="ctr"/>
        <c:lblOffset val="100"/>
        <c:noMultiLvlLbl val="0"/>
      </c:catAx>
      <c:valAx>
        <c:axId val="205923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7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114299</xdr:rowOff>
    </xdr:from>
    <xdr:to>
      <xdr:col>7</xdr:col>
      <xdr:colOff>125506</xdr:colOff>
      <xdr:row>21</xdr:row>
      <xdr:rowOff>166820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6CD02B-6592-DDB4-AED1-B3C4C6C4E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93593"/>
          <a:ext cx="8426824" cy="3638403"/>
        </a:xfrm>
        <a:prstGeom prst="rect">
          <a:avLst/>
        </a:prstGeom>
        <a:ln w="12700">
          <a:solidFill>
            <a:srgbClr val="FFCC00"/>
          </a:solidFill>
        </a:ln>
      </xdr:spPr>
    </xdr:pic>
    <xdr:clientData/>
  </xdr:twoCellAnchor>
  <xdr:twoCellAnchor>
    <xdr:from>
      <xdr:col>1</xdr:col>
      <xdr:colOff>26894</xdr:colOff>
      <xdr:row>58</xdr:row>
      <xdr:rowOff>170329</xdr:rowOff>
    </xdr:from>
    <xdr:to>
      <xdr:col>7</xdr:col>
      <xdr:colOff>8964</xdr:colOff>
      <xdr:row>74</xdr:row>
      <xdr:rowOff>107576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F874A2-D245-B4E7-FB76-67F7229B9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1030940</xdr:colOff>
      <xdr:row>24</xdr:row>
      <xdr:rowOff>0</xdr:rowOff>
    </xdr:from>
    <xdr:to>
      <xdr:col>6</xdr:col>
      <xdr:colOff>1344704</xdr:colOff>
      <xdr:row>24</xdr:row>
      <xdr:rowOff>313764</xdr:rowOff>
    </xdr:to>
    <xdr:pic>
      <xdr:nvPicPr>
        <xdr:cNvPr id="5" name="Gráfico 4" descr="Engrenagens com preenchimento sólido">
          <a:extLst>
            <a:ext uri="{FF2B5EF4-FFF2-40B4-BE49-F238E27FC236}">
              <a16:creationId xmlns:a16="http://schemas.microsoft.com/office/drawing/2014/main" id="{A8AC2CD1-F979-8BA7-E812-DC3DA5AE7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462681" y="4312024"/>
          <a:ext cx="313764" cy="313764"/>
        </a:xfrm>
        <a:prstGeom prst="rect">
          <a:avLst/>
        </a:prstGeom>
      </xdr:spPr>
    </xdr:pic>
    <xdr:clientData/>
  </xdr:twoCellAnchor>
  <xdr:twoCellAnchor editAs="oneCell">
    <xdr:from>
      <xdr:col>6</xdr:col>
      <xdr:colOff>896471</xdr:colOff>
      <xdr:row>45</xdr:row>
      <xdr:rowOff>8963</xdr:rowOff>
    </xdr:from>
    <xdr:to>
      <xdr:col>6</xdr:col>
      <xdr:colOff>1255060</xdr:colOff>
      <xdr:row>45</xdr:row>
      <xdr:rowOff>367552</xdr:rowOff>
    </xdr:to>
    <xdr:pic>
      <xdr:nvPicPr>
        <xdr:cNvPr id="7" name="Gráfico 6" descr="Usuário com preenchimento sólido">
          <a:extLst>
            <a:ext uri="{FF2B5EF4-FFF2-40B4-BE49-F238E27FC236}">
              <a16:creationId xmlns:a16="http://schemas.microsoft.com/office/drawing/2014/main" id="{BFE98A83-1429-66B1-635A-F13DA76C2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328212" y="9090210"/>
          <a:ext cx="358589" cy="358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9250-AF19-457E-A615-A0ED9063745A}">
  <sheetPr>
    <pageSetUpPr fitToPage="1"/>
  </sheetPr>
  <dimension ref="A5:H83"/>
  <sheetViews>
    <sheetView showGridLines="0" showRowColHeaders="0" tabSelected="1" zoomScale="85" zoomScaleNormal="85" workbookViewId="0">
      <selection activeCell="B59" sqref="B59"/>
    </sheetView>
  </sheetViews>
  <sheetFormatPr defaultColWidth="0" defaultRowHeight="14.4" x14ac:dyDescent="0.3"/>
  <cols>
    <col min="1" max="1" width="8.88671875" customWidth="1"/>
    <col min="2" max="2" width="30.5546875" bestFit="1" customWidth="1"/>
    <col min="3" max="3" width="15.5546875" bestFit="1" customWidth="1"/>
    <col min="4" max="4" width="12.88671875" bestFit="1" customWidth="1"/>
    <col min="5" max="5" width="8.88671875" customWidth="1"/>
    <col min="6" max="6" width="31.5546875" bestFit="1" customWidth="1"/>
    <col min="7" max="7" width="21.5546875" bestFit="1" customWidth="1"/>
    <col min="8" max="8" width="13.77734375" customWidth="1"/>
    <col min="9" max="10" width="8.88671875" hidden="1" customWidth="1"/>
    <col min="11" max="16384" width="8.88671875" hidden="1"/>
  </cols>
  <sheetData>
    <row r="5" customFormat="1" x14ac:dyDescent="0.3"/>
    <row r="6" customFormat="1" x14ac:dyDescent="0.3"/>
    <row r="7" customForma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24" spans="2:7" ht="15" thickBot="1" x14ac:dyDescent="0.35"/>
    <row r="25" spans="2:7" ht="26.4" customHeight="1" thickBot="1" x14ac:dyDescent="0.35">
      <c r="B25" s="27" t="s">
        <v>12</v>
      </c>
      <c r="C25" s="28"/>
      <c r="D25" s="28"/>
      <c r="E25" s="28"/>
      <c r="F25" s="28"/>
      <c r="G25" s="29"/>
    </row>
    <row r="26" spans="2:7" ht="18" x14ac:dyDescent="0.35">
      <c r="B26" s="45" t="s">
        <v>13</v>
      </c>
      <c r="C26" s="46"/>
      <c r="D26" s="46"/>
      <c r="E26" s="46"/>
      <c r="F26" s="46"/>
      <c r="G26" s="2">
        <v>3000</v>
      </c>
    </row>
    <row r="27" spans="2:7" ht="18" x14ac:dyDescent="0.35">
      <c r="B27" s="43" t="s">
        <v>14</v>
      </c>
      <c r="C27" s="44"/>
      <c r="D27" s="44"/>
      <c r="E27" s="44"/>
      <c r="F27" s="44"/>
      <c r="G27" s="3">
        <v>8.0000000000000002E-3</v>
      </c>
    </row>
    <row r="28" spans="2:7" ht="18.600000000000001" thickBot="1" x14ac:dyDescent="0.4">
      <c r="B28" s="41" t="s">
        <v>15</v>
      </c>
      <c r="C28" s="42"/>
      <c r="D28" s="42"/>
      <c r="E28" s="42"/>
      <c r="F28" s="42"/>
      <c r="G28" s="11">
        <f>G26*30%</f>
        <v>900</v>
      </c>
    </row>
    <row r="30" spans="2:7" ht="15" thickBot="1" x14ac:dyDescent="0.35"/>
    <row r="31" spans="2:7" ht="21.6" thickBot="1" x14ac:dyDescent="0.35">
      <c r="B31" s="30" t="s">
        <v>5</v>
      </c>
      <c r="C31" s="31"/>
      <c r="D31" s="31"/>
      <c r="E31" s="31"/>
      <c r="F31" s="31"/>
      <c r="G31" s="32"/>
    </row>
    <row r="32" spans="2:7" ht="18" x14ac:dyDescent="0.35">
      <c r="B32" s="39" t="s">
        <v>0</v>
      </c>
      <c r="C32" s="40"/>
      <c r="D32" s="40"/>
      <c r="E32" s="40"/>
      <c r="F32" s="40"/>
      <c r="G32" s="4">
        <v>600</v>
      </c>
    </row>
    <row r="33" spans="1:7" ht="18" x14ac:dyDescent="0.35">
      <c r="A33" s="1">
        <v>6</v>
      </c>
      <c r="B33" s="37" t="s">
        <v>1</v>
      </c>
      <c r="C33" s="38"/>
      <c r="D33" s="38"/>
      <c r="E33" s="38"/>
      <c r="F33" s="38"/>
      <c r="G33" s="12">
        <v>5</v>
      </c>
    </row>
    <row r="34" spans="1:7" ht="18" x14ac:dyDescent="0.35">
      <c r="A34" s="1">
        <v>12</v>
      </c>
      <c r="B34" s="37" t="s">
        <v>2</v>
      </c>
      <c r="C34" s="38"/>
      <c r="D34" s="38"/>
      <c r="E34" s="38"/>
      <c r="F34" s="38"/>
      <c r="G34" s="13">
        <v>5.0000000000000001E-3</v>
      </c>
    </row>
    <row r="35" spans="1:7" ht="18" x14ac:dyDescent="0.35">
      <c r="A35" s="1">
        <v>15</v>
      </c>
      <c r="B35" s="35" t="s">
        <v>3</v>
      </c>
      <c r="C35" s="36"/>
      <c r="D35" s="36"/>
      <c r="E35" s="36"/>
      <c r="F35" s="36"/>
      <c r="G35" s="5">
        <f>FV(taxa_mensal,qtd_anos*12,aporte*-1)</f>
        <v>41862.018305916448</v>
      </c>
    </row>
    <row r="36" spans="1:7" ht="18.600000000000001" thickBot="1" x14ac:dyDescent="0.4">
      <c r="A36" s="1">
        <v>40</v>
      </c>
      <c r="B36" s="33" t="s">
        <v>4</v>
      </c>
      <c r="C36" s="34"/>
      <c r="D36" s="34"/>
      <c r="E36" s="34"/>
      <c r="F36" s="34"/>
      <c r="G36" s="6">
        <f>patrimonio_acumulado*rendimento_carteira</f>
        <v>334.8961464473316</v>
      </c>
    </row>
    <row r="38" spans="1:7" ht="15" thickBot="1" x14ac:dyDescent="0.35"/>
    <row r="39" spans="1:7" ht="21" x14ac:dyDescent="0.3">
      <c r="B39" s="20" t="s">
        <v>10</v>
      </c>
      <c r="C39" s="21"/>
      <c r="D39" s="21"/>
      <c r="E39" s="21"/>
      <c r="F39" s="21"/>
      <c r="G39" s="7" t="s">
        <v>11</v>
      </c>
    </row>
    <row r="40" spans="1:7" ht="18" x14ac:dyDescent="0.35">
      <c r="B40" s="24" t="s">
        <v>6</v>
      </c>
      <c r="C40" s="25"/>
      <c r="D40" s="25"/>
      <c r="E40" s="25"/>
      <c r="F40" s="8">
        <f>FV($G$34,$A33*12,$G$32*-1)</f>
        <v>51845.313418996644</v>
      </c>
      <c r="G40" s="9">
        <f>F40*rendimento_carteira</f>
        <v>414.76250735197317</v>
      </c>
    </row>
    <row r="41" spans="1:7" ht="18" x14ac:dyDescent="0.35">
      <c r="B41" s="24" t="s">
        <v>7</v>
      </c>
      <c r="C41" s="25"/>
      <c r="D41" s="25"/>
      <c r="E41" s="25"/>
      <c r="F41" s="8">
        <f>FV($G$34,$A34*12,$G$32*-1)</f>
        <v>126090.09786727655</v>
      </c>
      <c r="G41" s="9">
        <f>F41*rendimento_carteira</f>
        <v>1008.7207829382124</v>
      </c>
    </row>
    <row r="42" spans="1:7" ht="18" x14ac:dyDescent="0.35">
      <c r="B42" s="24" t="s">
        <v>8</v>
      </c>
      <c r="C42" s="25"/>
      <c r="D42" s="25"/>
      <c r="E42" s="25"/>
      <c r="F42" s="8">
        <f>FV($G$34,$A35*12,$G$32*-1)</f>
        <v>174491.22746965752</v>
      </c>
      <c r="G42" s="9">
        <f>F42*rendimento_carteira</f>
        <v>1395.9298197572602</v>
      </c>
    </row>
    <row r="43" spans="1:7" ht="18.600000000000001" thickBot="1" x14ac:dyDescent="0.4">
      <c r="B43" s="22" t="s">
        <v>9</v>
      </c>
      <c r="C43" s="23"/>
      <c r="D43" s="23"/>
      <c r="E43" s="23"/>
      <c r="F43" s="10">
        <f>FV($G$34,$A36*12,$G$32*-1)</f>
        <v>1194894.4405985833</v>
      </c>
      <c r="G43" s="6">
        <f>F43*rendimento_carteira</f>
        <v>9559.1555247886663</v>
      </c>
    </row>
    <row r="46" spans="1:7" s="71" customFormat="1" ht="31.2" customHeight="1" x14ac:dyDescent="0.3">
      <c r="B46" s="72" t="s">
        <v>16</v>
      </c>
      <c r="C46" s="73"/>
      <c r="D46" s="73"/>
      <c r="E46" s="73"/>
      <c r="F46" s="74" t="s">
        <v>19</v>
      </c>
      <c r="G46" s="73"/>
    </row>
    <row r="47" spans="1:7" ht="15.6" x14ac:dyDescent="0.3">
      <c r="B47" s="16" t="s">
        <v>20</v>
      </c>
      <c r="C47" s="14"/>
      <c r="D47" s="14"/>
      <c r="E47" s="14"/>
      <c r="F47" s="15">
        <f>aporte</f>
        <v>600</v>
      </c>
      <c r="G47" s="14"/>
    </row>
    <row r="50" spans="2:7" x14ac:dyDescent="0.3">
      <c r="B50" s="26" t="s">
        <v>21</v>
      </c>
      <c r="C50" s="26"/>
      <c r="D50" s="26"/>
      <c r="E50" s="26"/>
      <c r="F50" s="17" t="s">
        <v>22</v>
      </c>
      <c r="G50" s="17" t="s">
        <v>23</v>
      </c>
    </row>
    <row r="51" spans="2:7" x14ac:dyDescent="0.3">
      <c r="B51" s="47" t="s">
        <v>24</v>
      </c>
      <c r="C51" s="47"/>
      <c r="D51" s="47"/>
      <c r="E51" s="47"/>
      <c r="F51" s="48">
        <f>VLOOKUP($F$46&amp;"-"&amp;B51,TABELA_APOIO!$B:$E,4,FALSE)</f>
        <v>0.2</v>
      </c>
      <c r="G51" s="49">
        <f>F51*$F$47</f>
        <v>120</v>
      </c>
    </row>
    <row r="52" spans="2:7" x14ac:dyDescent="0.3">
      <c r="B52" s="50" t="s">
        <v>25</v>
      </c>
      <c r="C52" s="50"/>
      <c r="D52" s="50"/>
      <c r="E52" s="50"/>
      <c r="F52" s="51">
        <f>VLOOKUP($F$46&amp;"-"&amp;B52,TABELA_APOIO!$B:$E,4,FALSE)</f>
        <v>0.6</v>
      </c>
      <c r="G52" s="52">
        <f t="shared" ref="G52:G56" si="0">F52*$F$47</f>
        <v>360</v>
      </c>
    </row>
    <row r="53" spans="2:7" x14ac:dyDescent="0.3">
      <c r="B53" s="50" t="s">
        <v>26</v>
      </c>
      <c r="C53" s="50"/>
      <c r="D53" s="50"/>
      <c r="E53" s="50"/>
      <c r="F53" s="51">
        <f>VLOOKUP($F$46&amp;"-"&amp;B53,TABELA_APOIO!$B:$E,4,FALSE)</f>
        <v>0.05</v>
      </c>
      <c r="G53" s="52">
        <f t="shared" si="0"/>
        <v>30</v>
      </c>
    </row>
    <row r="54" spans="2:7" x14ac:dyDescent="0.3">
      <c r="B54" s="50" t="s">
        <v>27</v>
      </c>
      <c r="C54" s="50"/>
      <c r="D54" s="50"/>
      <c r="E54" s="50"/>
      <c r="F54" s="51">
        <f>VLOOKUP($F$46&amp;"-"&amp;B54,TABELA_APOIO!$B:$E,4,FALSE)</f>
        <v>0.05</v>
      </c>
      <c r="G54" s="52">
        <f t="shared" si="0"/>
        <v>30</v>
      </c>
    </row>
    <row r="55" spans="2:7" x14ac:dyDescent="0.3">
      <c r="B55" s="50" t="s">
        <v>28</v>
      </c>
      <c r="C55" s="50"/>
      <c r="D55" s="50"/>
      <c r="E55" s="50"/>
      <c r="F55" s="51">
        <f>VLOOKUP($F$46&amp;"-"&amp;B55,TABELA_APOIO!$B:$E,4,FALSE)</f>
        <v>0.05</v>
      </c>
      <c r="G55" s="52">
        <f t="shared" si="0"/>
        <v>30</v>
      </c>
    </row>
    <row r="56" spans="2:7" x14ac:dyDescent="0.3">
      <c r="B56" s="53" t="s">
        <v>29</v>
      </c>
      <c r="C56" s="53"/>
      <c r="D56" s="53"/>
      <c r="E56" s="53"/>
      <c r="F56" s="54">
        <f>VLOOKUP($F$46&amp;"-"&amp;B56,TABELA_APOIO!$B:$E,4,FALSE)</f>
        <v>0.05</v>
      </c>
      <c r="G56" s="55">
        <f t="shared" si="0"/>
        <v>30</v>
      </c>
    </row>
    <row r="57" spans="2:7" x14ac:dyDescent="0.3">
      <c r="B57" s="18"/>
      <c r="C57" s="18"/>
      <c r="D57" s="18"/>
      <c r="E57" s="18"/>
      <c r="F57" s="18"/>
      <c r="G57" s="19">
        <f>SUM(G51:G56)</f>
        <v>600</v>
      </c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</sheetData>
  <mergeCells count="22">
    <mergeCell ref="B25:G25"/>
    <mergeCell ref="B31:G31"/>
    <mergeCell ref="B36:F36"/>
    <mergeCell ref="B35:F35"/>
    <mergeCell ref="B34:F34"/>
    <mergeCell ref="B33:F33"/>
    <mergeCell ref="B32:F32"/>
    <mergeCell ref="B28:F28"/>
    <mergeCell ref="B27:F27"/>
    <mergeCell ref="B26:F26"/>
    <mergeCell ref="B51:E51"/>
    <mergeCell ref="B39:F39"/>
    <mergeCell ref="B43:E43"/>
    <mergeCell ref="B42:E42"/>
    <mergeCell ref="B41:E41"/>
    <mergeCell ref="B40:E40"/>
    <mergeCell ref="B50:E50"/>
    <mergeCell ref="B56:E56"/>
    <mergeCell ref="B55:E55"/>
    <mergeCell ref="B54:E54"/>
    <mergeCell ref="B53:E53"/>
    <mergeCell ref="B52:E52"/>
  </mergeCells>
  <dataValidations count="1">
    <dataValidation type="list" allowBlank="1" showInputMessage="1" showErrorMessage="1" sqref="F46" xr:uid="{72B5ED70-D496-4EA0-BFD9-49BD8E851B1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scale="57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1A28-5C0A-404D-9394-6C03272C2F5E}">
  <dimension ref="B1:G20"/>
  <sheetViews>
    <sheetView showGridLines="0" topLeftCell="A9" workbookViewId="0">
      <selection activeCell="D24" sqref="D24"/>
    </sheetView>
  </sheetViews>
  <sheetFormatPr defaultColWidth="0" defaultRowHeight="14.4" x14ac:dyDescent="0.3"/>
  <cols>
    <col min="1" max="1" width="8.88671875" customWidth="1"/>
    <col min="2" max="2" width="31.5546875" bestFit="1" customWidth="1"/>
    <col min="3" max="3" width="14" bestFit="1" customWidth="1"/>
    <col min="4" max="4" width="17.6640625" bestFit="1" customWidth="1"/>
    <col min="5" max="6" width="8.88671875" customWidth="1"/>
    <col min="8" max="16384" width="8.88671875" hidden="1"/>
  </cols>
  <sheetData>
    <row r="1" spans="2:5" ht="15" thickBot="1" x14ac:dyDescent="0.35"/>
    <row r="2" spans="2:5" x14ac:dyDescent="0.3">
      <c r="B2" s="68" t="s">
        <v>32</v>
      </c>
      <c r="C2" s="69" t="s">
        <v>30</v>
      </c>
      <c r="D2" s="69" t="s">
        <v>21</v>
      </c>
      <c r="E2" s="70" t="s">
        <v>31</v>
      </c>
    </row>
    <row r="3" spans="2:5" x14ac:dyDescent="0.3">
      <c r="B3" s="60" t="str">
        <f>C3&amp;"-"&amp;D3</f>
        <v>CONSERVADOR-PAPEL</v>
      </c>
      <c r="C3" s="56" t="s">
        <v>19</v>
      </c>
      <c r="D3" s="57" t="s">
        <v>24</v>
      </c>
      <c r="E3" s="61">
        <v>0.2</v>
      </c>
    </row>
    <row r="4" spans="2:5" x14ac:dyDescent="0.3">
      <c r="B4" s="60" t="str">
        <f t="shared" ref="B4:B20" si="0">C4&amp;"-"&amp;D4</f>
        <v>CONSERVADOR-TIJOLO</v>
      </c>
      <c r="C4" s="56" t="s">
        <v>19</v>
      </c>
      <c r="D4" s="57" t="s">
        <v>25</v>
      </c>
      <c r="E4" s="61">
        <v>0.6</v>
      </c>
    </row>
    <row r="5" spans="2:5" x14ac:dyDescent="0.3">
      <c r="B5" s="60" t="str">
        <f t="shared" si="0"/>
        <v>CONSERVADOR-HÍBRIDOS</v>
      </c>
      <c r="C5" s="56" t="s">
        <v>19</v>
      </c>
      <c r="D5" s="57" t="s">
        <v>26</v>
      </c>
      <c r="E5" s="61">
        <v>0.05</v>
      </c>
    </row>
    <row r="6" spans="2:5" x14ac:dyDescent="0.3">
      <c r="B6" s="60" t="str">
        <f t="shared" si="0"/>
        <v>CONSERVADOR-FOFs</v>
      </c>
      <c r="C6" s="56" t="s">
        <v>19</v>
      </c>
      <c r="D6" s="57" t="s">
        <v>27</v>
      </c>
      <c r="E6" s="61">
        <v>0.05</v>
      </c>
    </row>
    <row r="7" spans="2:5" x14ac:dyDescent="0.3">
      <c r="B7" s="60" t="str">
        <f t="shared" si="0"/>
        <v>CONSERVADOR-DESENVOLVIMENTO</v>
      </c>
      <c r="C7" s="56" t="s">
        <v>19</v>
      </c>
      <c r="D7" s="57" t="s">
        <v>28</v>
      </c>
      <c r="E7" s="61">
        <v>0.05</v>
      </c>
    </row>
    <row r="8" spans="2:5" x14ac:dyDescent="0.3">
      <c r="B8" s="62" t="str">
        <f t="shared" si="0"/>
        <v>CONSERVADOR-HOTELARIAS</v>
      </c>
      <c r="C8" s="58" t="s">
        <v>19</v>
      </c>
      <c r="D8" s="59" t="s">
        <v>29</v>
      </c>
      <c r="E8" s="63">
        <v>0.05</v>
      </c>
    </row>
    <row r="9" spans="2:5" x14ac:dyDescent="0.3">
      <c r="B9" s="60" t="str">
        <f t="shared" si="0"/>
        <v>MODERADO-PAPEL</v>
      </c>
      <c r="C9" s="56" t="s">
        <v>18</v>
      </c>
      <c r="D9" s="57" t="s">
        <v>24</v>
      </c>
      <c r="E9" s="61">
        <v>0.4</v>
      </c>
    </row>
    <row r="10" spans="2:5" x14ac:dyDescent="0.3">
      <c r="B10" s="60" t="str">
        <f t="shared" si="0"/>
        <v>MODERADO-TIJOLO</v>
      </c>
      <c r="C10" s="56" t="s">
        <v>18</v>
      </c>
      <c r="D10" s="57" t="s">
        <v>25</v>
      </c>
      <c r="E10" s="61">
        <v>0.4</v>
      </c>
    </row>
    <row r="11" spans="2:5" x14ac:dyDescent="0.3">
      <c r="B11" s="60" t="str">
        <f t="shared" si="0"/>
        <v>MODERADO-HÍBRIDOS</v>
      </c>
      <c r="C11" s="56" t="s">
        <v>18</v>
      </c>
      <c r="D11" s="57" t="s">
        <v>26</v>
      </c>
      <c r="E11" s="61">
        <v>0.05</v>
      </c>
    </row>
    <row r="12" spans="2:5" x14ac:dyDescent="0.3">
      <c r="B12" s="60" t="str">
        <f t="shared" si="0"/>
        <v>MODERADO-FOFs</v>
      </c>
      <c r="C12" s="56" t="s">
        <v>18</v>
      </c>
      <c r="D12" s="57" t="s">
        <v>27</v>
      </c>
      <c r="E12" s="61">
        <v>0.05</v>
      </c>
    </row>
    <row r="13" spans="2:5" x14ac:dyDescent="0.3">
      <c r="B13" s="60" t="str">
        <f t="shared" si="0"/>
        <v>MODERADO-DESENVOLVIMENTO</v>
      </c>
      <c r="C13" s="56" t="s">
        <v>18</v>
      </c>
      <c r="D13" s="57" t="s">
        <v>28</v>
      </c>
      <c r="E13" s="61">
        <v>0.05</v>
      </c>
    </row>
    <row r="14" spans="2:5" x14ac:dyDescent="0.3">
      <c r="B14" s="62" t="str">
        <f t="shared" si="0"/>
        <v>MODERADO-HOTELARIAS</v>
      </c>
      <c r="C14" s="58" t="s">
        <v>18</v>
      </c>
      <c r="D14" s="59" t="s">
        <v>29</v>
      </c>
      <c r="E14" s="63">
        <v>0.05</v>
      </c>
    </row>
    <row r="15" spans="2:5" x14ac:dyDescent="0.3">
      <c r="B15" s="60" t="str">
        <f t="shared" si="0"/>
        <v>AGRESSIVO-PAPEL</v>
      </c>
      <c r="C15" s="56" t="s">
        <v>17</v>
      </c>
      <c r="D15" s="57" t="s">
        <v>24</v>
      </c>
      <c r="E15" s="61">
        <v>0.6</v>
      </c>
    </row>
    <row r="16" spans="2:5" x14ac:dyDescent="0.3">
      <c r="B16" s="60" t="str">
        <f t="shared" si="0"/>
        <v>AGRESSIVO-TIJOLO</v>
      </c>
      <c r="C16" s="56" t="s">
        <v>17</v>
      </c>
      <c r="D16" s="57" t="s">
        <v>25</v>
      </c>
      <c r="E16" s="61">
        <v>0.2</v>
      </c>
    </row>
    <row r="17" spans="2:5" x14ac:dyDescent="0.3">
      <c r="B17" s="60" t="str">
        <f t="shared" si="0"/>
        <v>AGRESSIVO-HÍBRIDOS</v>
      </c>
      <c r="C17" s="56" t="s">
        <v>17</v>
      </c>
      <c r="D17" s="57" t="s">
        <v>26</v>
      </c>
      <c r="E17" s="61">
        <v>0.05</v>
      </c>
    </row>
    <row r="18" spans="2:5" x14ac:dyDescent="0.3">
      <c r="B18" s="60" t="str">
        <f t="shared" si="0"/>
        <v>AGRESSIVO-FOFs</v>
      </c>
      <c r="C18" s="56" t="s">
        <v>17</v>
      </c>
      <c r="D18" s="57" t="s">
        <v>27</v>
      </c>
      <c r="E18" s="61">
        <v>0.05</v>
      </c>
    </row>
    <row r="19" spans="2:5" x14ac:dyDescent="0.3">
      <c r="B19" s="60" t="str">
        <f t="shared" si="0"/>
        <v>AGRESSIVO-DESENVOLVIMENTO</v>
      </c>
      <c r="C19" s="56" t="s">
        <v>17</v>
      </c>
      <c r="D19" s="57" t="s">
        <v>28</v>
      </c>
      <c r="E19" s="61">
        <v>0.05</v>
      </c>
    </row>
    <row r="20" spans="2:5" ht="15" thickBot="1" x14ac:dyDescent="0.35">
      <c r="B20" s="64" t="str">
        <f t="shared" si="0"/>
        <v>AGRESSIVO-HOTELARIAS</v>
      </c>
      <c r="C20" s="65" t="s">
        <v>17</v>
      </c>
      <c r="D20" s="66" t="s">
        <v>29</v>
      </c>
      <c r="E20" s="67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TABELA_APOIO</vt:lpstr>
      <vt:lpstr>aporte</vt:lpstr>
      <vt:lpstr>dividendos_mensais</vt:lpstr>
      <vt:lpstr>patrimonio_acumulado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Aires</dc:creator>
  <cp:lastModifiedBy>Vladimir Aires</cp:lastModifiedBy>
  <cp:lastPrinted>2026-10-17T22:50:10Z</cp:lastPrinted>
  <dcterms:created xsi:type="dcterms:W3CDTF">2026-10-16T18:30:02Z</dcterms:created>
  <dcterms:modified xsi:type="dcterms:W3CDTF">2026-10-18T00:03:13Z</dcterms:modified>
</cp:coreProperties>
</file>